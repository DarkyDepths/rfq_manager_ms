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mar/Downloads/"/>
    </mc:Choice>
  </mc:AlternateContent>
  <xr:revisionPtr revIDLastSave="0" documentId="13_ncr:1_{97920CCC-59CE-C44E-BDF5-CB9B1B092BBD}" xr6:coauthVersionLast="47" xr6:coauthVersionMax="47" xr10:uidLastSave="{00000000-0000-0000-0000-000000000000}"/>
  <bookViews>
    <workbookView xWindow="4440" yWindow="2720" windowWidth="25800" windowHeight="17680" xr2:uid="{00000000-000D-0000-FFFF-FFFF00000000}"/>
  </bookViews>
  <sheets>
    <sheet name="Tech_Backlog_MS" sheetId="1" r:id="rId1"/>
    <sheet name="Component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62" i="1"/>
  <c r="B60" i="1"/>
  <c r="F54" i="1" s="1"/>
</calcChain>
</file>

<file path=xl/sharedStrings.xml><?xml version="1.0" encoding="utf-8"?>
<sst xmlns="http://schemas.openxmlformats.org/spreadsheetml/2006/main" count="287" uniqueCount="143">
  <si>
    <t>Component</t>
  </si>
  <si>
    <t>Work package</t>
  </si>
  <si>
    <t>Type (FE/BE/AI/DB/Infra/Cross)</t>
  </si>
  <si>
    <t>Description</t>
  </si>
  <si>
    <t>Complexity (S/M/L)</t>
  </si>
  <si>
    <t>Estimated days</t>
  </si>
  <si>
    <t>cross_backend_architecture</t>
  </si>
  <si>
    <t>cross_devops</t>
  </si>
  <si>
    <t>cross_frontend_design</t>
  </si>
  <si>
    <t>cross_infrastructure_design</t>
  </si>
  <si>
    <t>cross_opex</t>
  </si>
  <si>
    <t>cross_tests_deployment</t>
  </si>
  <si>
    <t>frontend_app</t>
  </si>
  <si>
    <t>iam_ms</t>
  </si>
  <si>
    <t>rfq_chatbot_ms</t>
  </si>
  <si>
    <t>rfq_manager_ms</t>
  </si>
  <si>
    <t>rfq_reminder_ms</t>
  </si>
  <si>
    <t>API contract definitions (OpenAPI/schema)</t>
  </si>
  <si>
    <t>Domain model consolidation</t>
  </si>
  <si>
    <t>Microservices architecture design</t>
  </si>
  <si>
    <t>Deployment automation (CI/CD)</t>
  </si>
  <si>
    <t>Environment setup (Dev/Int)</t>
  </si>
  <si>
    <t>Solution packaging toolchain</t>
  </si>
  <si>
    <t>UX flows &amp; information architecture</t>
  </si>
  <si>
    <t>Wireframes / UI guidelines</t>
  </si>
  <si>
    <t>Cloud architecture &amp; resources design</t>
  </si>
  <si>
    <t>Security &amp; network design</t>
  </si>
  <si>
    <t>Cost monitoring &amp; optimization baseline</t>
  </si>
  <si>
    <t>OPEX cost model design</t>
  </si>
  <si>
    <t>Deploy Dev solution</t>
  </si>
  <si>
    <t>Functional tests with client (UAT support)</t>
  </si>
  <si>
    <t>Integration tests</t>
  </si>
  <si>
    <t>Admin UI – IAM (users, roles, permissions, groups)</t>
  </si>
  <si>
    <t>Admin UI – stages &amp; workflows</t>
  </si>
  <si>
    <t>Copilot panel UI in RFQ view</t>
  </si>
  <si>
    <t>Frontend shell &amp; IAM integration</t>
  </si>
  <si>
    <t>Frontend tests (unit &amp; e2e smoke)</t>
  </si>
  <si>
    <t>Overview page UI</t>
  </si>
  <si>
    <t>RFQ view &amp; workflow UI</t>
  </si>
  <si>
    <t>RFQs management dashboard UI</t>
  </si>
  <si>
    <t>IAM admin tests &amp; security checks</t>
  </si>
  <si>
    <t>IAM data model (user, role, group, permission)</t>
  </si>
  <si>
    <t>Permission evaluation component</t>
  </si>
  <si>
    <t>Token / auth integration</t>
  </si>
  <si>
    <t>User, role, group, permission CRUD APIs</t>
  </si>
  <si>
    <t>Chat API endpoints</t>
  </si>
  <si>
    <t>Chatbot entity &amp; CRUD</t>
  </si>
  <si>
    <t>Chatbot service skeleton</t>
  </si>
  <si>
    <t>Chatbot tests (unit &amp; integration)</t>
  </si>
  <si>
    <t>Conversation &amp; history model</t>
  </si>
  <si>
    <t>Integration with rfq_manager_ms</t>
  </si>
  <si>
    <t>Logging &amp; telemetry for chatbot</t>
  </si>
  <si>
    <t>Backend skeleton &amp; common modules</t>
  </si>
  <si>
    <t>Dashboard APIs (RFQ list &amp; KPIs)</t>
  </si>
  <si>
    <t>IAM integration (authorization checks)</t>
  </si>
  <si>
    <t>RFQ entity &amp; CRUD API</t>
  </si>
  <si>
    <t>RFQ stage instance model</t>
  </si>
  <si>
    <t>Reminder configuration model</t>
  </si>
  <si>
    <t>Unit &amp; integration tests for rfq_manager_ms</t>
  </si>
  <si>
    <t>Update stage action API</t>
  </si>
  <si>
    <t>Workflow model &amp; CRUD</t>
  </si>
  <si>
    <t>Workflow_stage model &amp; CRUD</t>
  </si>
  <si>
    <t>Client reminder rules engine</t>
  </si>
  <si>
    <t>Email sending integration</t>
  </si>
  <si>
    <t>Internal reminder rules engine</t>
  </si>
  <si>
    <t>Reminder logging &amp; retry mechanism</t>
  </si>
  <si>
    <t>Service skeleton &amp; scheduling framework</t>
  </si>
  <si>
    <t>Tests for reminder flows</t>
  </si>
  <si>
    <t>Cross</t>
  </si>
  <si>
    <t>Infra</t>
  </si>
  <si>
    <t>QA/Cross</t>
  </si>
  <si>
    <t>FE</t>
  </si>
  <si>
    <t>QA/FE</t>
  </si>
  <si>
    <t>BE/DB</t>
  </si>
  <si>
    <t>BE</t>
  </si>
  <si>
    <t>BE/Infra</t>
  </si>
  <si>
    <t>BE/AI</t>
  </si>
  <si>
    <t>QA/AI</t>
  </si>
  <si>
    <t>BE/Cross</t>
  </si>
  <si>
    <t>BE/Data</t>
  </si>
  <si>
    <t>QA/BE</t>
  </si>
  <si>
    <t>Define and document API contracts and shared schemas between microservices.</t>
  </si>
  <si>
    <t>Consolidate domain entities across services (RFQ, stage, workflow, reminder, IAM) and align schemas.</t>
  </si>
  <si>
    <t>Define microservices boundaries (rfq_manager_ms, rfq_reminder_ms, iam_ms, rfq_chatbot_ms), communication patterns, and contracts.</t>
  </si>
  <si>
    <t>Implement CI/CD pipelines for build, test, and deployment to AKS.</t>
  </si>
  <si>
    <t>Create and configure Dev and Integration environments for the solution.</t>
  </si>
  <si>
    <t>Define and implement packaging (Docker images, Helm charts) for all microservices and frontend.</t>
  </si>
  <si>
    <t>Design main UX flows per page (overview, RFQ management, RFQ view, admin) and navigation structure.</t>
  </si>
  <si>
    <t>Produce wireframes and guidelines for key pages and components.</t>
  </si>
  <si>
    <t>Design Azure resources: AKS, OpenAI service, Azure SQL, Key Vault, ACR, Storage Account, networking.</t>
  </si>
  <si>
    <t>Define network isolation, ingress (App Gateway), SSL, certificates, and access policies.</t>
  </si>
  <si>
    <t>Define tagging, monitoring, and first optimisation recommendations for cloud cost.</t>
  </si>
  <si>
    <t>Estimate recurring costs for SSL certificates, domain, Azure resources (OpenAI, SQL, Key Vault, ACR, Storage).</t>
  </si>
  <si>
    <t>Deploy full solution stack to Dev environment.</t>
  </si>
  <si>
    <t>Prepare scenarios and support client for UAT sessions.</t>
  </si>
  <si>
    <t>Implement and execute integration tests across microservices and frontend.</t>
  </si>
  <si>
    <t>Implement IAM administration screens on the frontend.</t>
  </si>
  <si>
    <t>Implement admin pages to manage stages and workflows.</t>
  </si>
  <si>
    <t>Integrate chatbot/copilot panel for the Estimation stage into RFQ view.</t>
  </si>
  <si>
    <t>Implement app shell (layout, routing, IAM-based menu visibility, authentication flow).</t>
  </si>
  <si>
    <t>Write critical-path tests for navigation, RFQ lifecycle, and copilot panel.</t>
  </si>
  <si>
    <t>Implement overview page with shortcuts to RFQs and dashboards.</t>
  </si>
  <si>
    <t>Implement RFQ details page with workflow visualization, current step, and stage edit actions based on IAM.</t>
  </si>
  <si>
    <t>Implement dashboard page with RFQ list, filters, and basic KPIs.</t>
  </si>
  <si>
    <t>Write tests for IAM flows and perform a basic security review of permissions.</t>
  </si>
  <si>
    <t>Design IAM entities and relations (users linked to departments/teams, groups, roles, permissions per action).</t>
  </si>
  <si>
    <t>Implement permission checking logic and policy evaluation (backend actions &amp; front-end routes).</t>
  </si>
  <si>
    <t>Integrate authentication (JWT or similar) and expose user claims/permissions to other microservices.</t>
  </si>
  <si>
    <t>Implement CRUD endpoints for IAM entities.</t>
  </si>
  <si>
    <t>Implement endpoints to send/receive chat messages, orchestrating LLM calls and context building.</t>
  </si>
  <si>
    <t>Model chatbot configuration entity (name, scope, prompts) and implement CRUD.</t>
  </si>
  <si>
    <t>Create chatbot microservice skeleton with connection to LLM provider.</t>
  </si>
  <si>
    <t>Test typical copilot/Estimation flows including RFQ context retrieval.</t>
  </si>
  <si>
    <t>Model conversation sessions and message history linked to RFQ and user.</t>
  </si>
  <si>
    <t>Retrieve RFQ data and documents from rfq_manager_ms to build copilot context for Estimation stage.</t>
  </si>
  <si>
    <t>Log conversations, errors, and latency for observability and tuning.</t>
  </si>
  <si>
    <t>Create rfq_manager_ms project skeleton (framework, logging, error handling, config management).</t>
  </si>
  <si>
    <t>Implement APIs to provide RFQ list with filters and basic aggregated KPIs used by dashboards.</t>
  </si>
  <si>
    <t>Integrate IAM permissions into rfq_manager_ms endpoints (who can edit RFQ, stage, workflows, reminders).</t>
  </si>
  <si>
    <t>Model RFQ entity and implement create, read, update, delete endpoints including basic validation.</t>
  </si>
  <si>
    <t>Design RFQ stage instance entity linked to RFQ and workflow_stage, including flexible attributes and required fields.</t>
  </si>
  <si>
    <t>Model reminder configuration (internal/client, timing, stage blueprint) and expose CRUD APIs.</t>
  </si>
  <si>
    <t>Write tests covering core RFQ, stage, workflow, dashboard and reminder configuration flows.</t>
  </si>
  <si>
    <t>Implement endpoint to update RFQ stage data, enforce mandatory fields and stage transitions.</t>
  </si>
  <si>
    <t>Model workflow entity with many-to-many relationship to workflow_stage and implement CRUD.</t>
  </si>
  <si>
    <t>Model workflow_stage as stage unit and implement CRUD for stage definitions.</t>
  </si>
  <si>
    <t>Implement logic to evaluate client follow-up reminders after proposal submission.</t>
  </si>
  <si>
    <t>Integrate with email provider (SMTP/API), handle templates and error handling.</t>
  </si>
  <si>
    <t>Implement client to query rfq_manager_ms for RFQs and stages requiring reminders based on configuration.</t>
  </si>
  <si>
    <t>Implement logic to evaluate internal reminders (team notifications before deadlines and SLA breaches).</t>
  </si>
  <si>
    <t>Persist sent reminders, errors, and implement basic retry for failed notifications.</t>
  </si>
  <si>
    <t>Create rfq_reminder_ms service skeleton and integrate cron/scheduler framework.</t>
  </si>
  <si>
    <t>Tests for internal and client reminder scenarios end-to-end.</t>
  </si>
  <si>
    <t>L</t>
  </si>
  <si>
    <t>M</t>
  </si>
  <si>
    <t>S</t>
  </si>
  <si>
    <t>Total_days</t>
  </si>
  <si>
    <t>TOTAL</t>
  </si>
  <si>
    <t>Man Charge</t>
  </si>
  <si>
    <t>TJM USD</t>
  </si>
  <si>
    <t xml:space="preserve">OPEX Monthly Licence </t>
  </si>
  <si>
    <t>Total USD</t>
  </si>
  <si>
    <t xml:space="preserve">OPEX Monthly Licence USD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</si>
</sst>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14" workbookViewId="0">
      <selection activeCell="B62" sqref="B62"/>
    </sheetView>
  </sheetViews>
  <sheetFormatPr baseColWidth="10" defaultColWidth="8.83203125" defaultRowHeight="15" x14ac:dyDescent="0.2"/>
  <cols>
    <col min="1" max="1" width="22.6640625" bestFit="1" customWidth="1"/>
    <col min="2" max="2" width="39.5" bestFit="1" customWidth="1"/>
    <col min="3" max="3" width="25.5" bestFit="1" customWidth="1"/>
    <col min="4" max="4" width="107" bestFit="1" customWidth="1"/>
    <col min="5" max="5" width="16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17</v>
      </c>
      <c r="C2" t="s">
        <v>68</v>
      </c>
      <c r="D2" t="s">
        <v>81</v>
      </c>
      <c r="E2" t="s">
        <v>133</v>
      </c>
      <c r="F2">
        <v>7</v>
      </c>
    </row>
    <row r="3" spans="1:6" x14ac:dyDescent="0.2">
      <c r="A3" t="s">
        <v>6</v>
      </c>
      <c r="B3" t="s">
        <v>18</v>
      </c>
      <c r="C3" t="s">
        <v>68</v>
      </c>
      <c r="D3" t="s">
        <v>82</v>
      </c>
      <c r="E3" t="s">
        <v>133</v>
      </c>
      <c r="F3">
        <v>7</v>
      </c>
    </row>
    <row r="4" spans="1:6" x14ac:dyDescent="0.2">
      <c r="A4" t="s">
        <v>6</v>
      </c>
      <c r="B4" t="s">
        <v>19</v>
      </c>
      <c r="C4" t="s">
        <v>68</v>
      </c>
      <c r="D4" t="s">
        <v>83</v>
      </c>
      <c r="E4" t="s">
        <v>133</v>
      </c>
      <c r="F4">
        <v>7</v>
      </c>
    </row>
    <row r="5" spans="1:6" x14ac:dyDescent="0.2">
      <c r="A5" t="s">
        <v>7</v>
      </c>
      <c r="B5" t="s">
        <v>20</v>
      </c>
      <c r="C5" t="s">
        <v>69</v>
      </c>
      <c r="D5" t="s">
        <v>84</v>
      </c>
      <c r="E5" t="s">
        <v>133</v>
      </c>
      <c r="F5">
        <v>7</v>
      </c>
    </row>
    <row r="6" spans="1:6" x14ac:dyDescent="0.2">
      <c r="A6" t="s">
        <v>7</v>
      </c>
      <c r="B6" t="s">
        <v>21</v>
      </c>
      <c r="C6" t="s">
        <v>69</v>
      </c>
      <c r="D6" t="s">
        <v>85</v>
      </c>
      <c r="E6" t="s">
        <v>134</v>
      </c>
      <c r="F6">
        <v>4</v>
      </c>
    </row>
    <row r="7" spans="1:6" x14ac:dyDescent="0.2">
      <c r="A7" t="s">
        <v>7</v>
      </c>
      <c r="B7" t="s">
        <v>22</v>
      </c>
      <c r="C7" t="s">
        <v>69</v>
      </c>
      <c r="D7" t="s">
        <v>86</v>
      </c>
      <c r="E7" t="s">
        <v>133</v>
      </c>
      <c r="F7">
        <v>7</v>
      </c>
    </row>
    <row r="8" spans="1:6" x14ac:dyDescent="0.2">
      <c r="A8" t="s">
        <v>8</v>
      </c>
      <c r="B8" t="s">
        <v>23</v>
      </c>
      <c r="C8" t="s">
        <v>68</v>
      </c>
      <c r="D8" t="s">
        <v>87</v>
      </c>
      <c r="E8" t="s">
        <v>134</v>
      </c>
      <c r="F8">
        <v>4</v>
      </c>
    </row>
    <row r="9" spans="1:6" x14ac:dyDescent="0.2">
      <c r="A9" t="s">
        <v>8</v>
      </c>
      <c r="B9" t="s">
        <v>24</v>
      </c>
      <c r="C9" t="s">
        <v>68</v>
      </c>
      <c r="D9" t="s">
        <v>88</v>
      </c>
      <c r="E9" t="s">
        <v>134</v>
      </c>
      <c r="F9">
        <v>4</v>
      </c>
    </row>
    <row r="10" spans="1:6" x14ac:dyDescent="0.2">
      <c r="A10" t="s">
        <v>9</v>
      </c>
      <c r="B10" t="s">
        <v>25</v>
      </c>
      <c r="C10" t="s">
        <v>69</v>
      </c>
      <c r="D10" t="s">
        <v>89</v>
      </c>
      <c r="E10" t="s">
        <v>133</v>
      </c>
      <c r="F10">
        <v>7</v>
      </c>
    </row>
    <row r="11" spans="1:6" x14ac:dyDescent="0.2">
      <c r="A11" t="s">
        <v>9</v>
      </c>
      <c r="B11" t="s">
        <v>26</v>
      </c>
      <c r="C11" t="s">
        <v>69</v>
      </c>
      <c r="D11" t="s">
        <v>90</v>
      </c>
      <c r="E11" t="s">
        <v>133</v>
      </c>
      <c r="F11">
        <v>7</v>
      </c>
    </row>
    <row r="12" spans="1:6" x14ac:dyDescent="0.2">
      <c r="A12" t="s">
        <v>10</v>
      </c>
      <c r="B12" t="s">
        <v>27</v>
      </c>
      <c r="C12" t="s">
        <v>69</v>
      </c>
      <c r="D12" t="s">
        <v>91</v>
      </c>
      <c r="E12" t="s">
        <v>135</v>
      </c>
      <c r="F12">
        <v>2</v>
      </c>
    </row>
    <row r="13" spans="1:6" x14ac:dyDescent="0.2">
      <c r="A13" t="s">
        <v>10</v>
      </c>
      <c r="B13" t="s">
        <v>28</v>
      </c>
      <c r="C13" t="s">
        <v>68</v>
      </c>
      <c r="D13" t="s">
        <v>92</v>
      </c>
      <c r="E13" t="s">
        <v>134</v>
      </c>
      <c r="F13">
        <v>4</v>
      </c>
    </row>
    <row r="14" spans="1:6" x14ac:dyDescent="0.2">
      <c r="A14" t="s">
        <v>11</v>
      </c>
      <c r="B14" t="s">
        <v>29</v>
      </c>
      <c r="C14" t="s">
        <v>69</v>
      </c>
      <c r="D14" t="s">
        <v>93</v>
      </c>
      <c r="E14" t="s">
        <v>134</v>
      </c>
      <c r="F14">
        <v>4</v>
      </c>
    </row>
    <row r="15" spans="1:6" x14ac:dyDescent="0.2">
      <c r="A15" t="s">
        <v>11</v>
      </c>
      <c r="B15" t="s">
        <v>30</v>
      </c>
      <c r="C15" t="s">
        <v>70</v>
      </c>
      <c r="D15" t="s">
        <v>94</v>
      </c>
      <c r="E15" t="s">
        <v>133</v>
      </c>
      <c r="F15">
        <v>7</v>
      </c>
    </row>
    <row r="16" spans="1:6" x14ac:dyDescent="0.2">
      <c r="A16" t="s">
        <v>11</v>
      </c>
      <c r="B16" t="s">
        <v>31</v>
      </c>
      <c r="C16" t="s">
        <v>70</v>
      </c>
      <c r="D16" t="s">
        <v>95</v>
      </c>
      <c r="E16" t="s">
        <v>133</v>
      </c>
      <c r="F16">
        <v>7</v>
      </c>
    </row>
    <row r="17" spans="1:6" x14ac:dyDescent="0.2">
      <c r="A17" t="s">
        <v>12</v>
      </c>
      <c r="B17" t="s">
        <v>32</v>
      </c>
      <c r="C17" t="s">
        <v>71</v>
      </c>
      <c r="D17" t="s">
        <v>96</v>
      </c>
      <c r="E17" t="s">
        <v>133</v>
      </c>
      <c r="F17">
        <v>7</v>
      </c>
    </row>
    <row r="18" spans="1:6" x14ac:dyDescent="0.2">
      <c r="A18" t="s">
        <v>12</v>
      </c>
      <c r="B18" t="s">
        <v>33</v>
      </c>
      <c r="C18" t="s">
        <v>71</v>
      </c>
      <c r="D18" t="s">
        <v>97</v>
      </c>
      <c r="E18" t="s">
        <v>133</v>
      </c>
      <c r="F18">
        <v>7</v>
      </c>
    </row>
    <row r="19" spans="1:6" x14ac:dyDescent="0.2">
      <c r="A19" t="s">
        <v>12</v>
      </c>
      <c r="B19" t="s">
        <v>34</v>
      </c>
      <c r="C19" t="s">
        <v>71</v>
      </c>
      <c r="D19" t="s">
        <v>98</v>
      </c>
      <c r="E19" t="s">
        <v>134</v>
      </c>
      <c r="F19">
        <v>4</v>
      </c>
    </row>
    <row r="20" spans="1:6" x14ac:dyDescent="0.2">
      <c r="A20" t="s">
        <v>12</v>
      </c>
      <c r="B20" t="s">
        <v>35</v>
      </c>
      <c r="C20" t="s">
        <v>71</v>
      </c>
      <c r="D20" t="s">
        <v>99</v>
      </c>
      <c r="E20" t="s">
        <v>133</v>
      </c>
      <c r="F20">
        <v>7</v>
      </c>
    </row>
    <row r="21" spans="1:6" x14ac:dyDescent="0.2">
      <c r="A21" t="s">
        <v>12</v>
      </c>
      <c r="B21" t="s">
        <v>36</v>
      </c>
      <c r="C21" t="s">
        <v>72</v>
      </c>
      <c r="D21" t="s">
        <v>100</v>
      </c>
      <c r="E21" t="s">
        <v>134</v>
      </c>
      <c r="F21">
        <v>4</v>
      </c>
    </row>
    <row r="22" spans="1:6" x14ac:dyDescent="0.2">
      <c r="A22" t="s">
        <v>12</v>
      </c>
      <c r="B22" t="s">
        <v>37</v>
      </c>
      <c r="C22" t="s">
        <v>71</v>
      </c>
      <c r="D22" t="s">
        <v>101</v>
      </c>
      <c r="E22" t="s">
        <v>135</v>
      </c>
      <c r="F22">
        <v>2</v>
      </c>
    </row>
    <row r="23" spans="1:6" x14ac:dyDescent="0.2">
      <c r="A23" t="s">
        <v>12</v>
      </c>
      <c r="B23" t="s">
        <v>38</v>
      </c>
      <c r="C23" t="s">
        <v>71</v>
      </c>
      <c r="D23" t="s">
        <v>102</v>
      </c>
      <c r="E23" t="s">
        <v>133</v>
      </c>
      <c r="F23">
        <v>7</v>
      </c>
    </row>
    <row r="24" spans="1:6" x14ac:dyDescent="0.2">
      <c r="A24" t="s">
        <v>12</v>
      </c>
      <c r="B24" t="s">
        <v>39</v>
      </c>
      <c r="C24" t="s">
        <v>71</v>
      </c>
      <c r="D24" t="s">
        <v>103</v>
      </c>
      <c r="E24" t="s">
        <v>133</v>
      </c>
      <c r="F24">
        <v>7</v>
      </c>
    </row>
    <row r="25" spans="1:6" x14ac:dyDescent="0.2">
      <c r="A25" t="s">
        <v>13</v>
      </c>
      <c r="B25" t="s">
        <v>40</v>
      </c>
      <c r="C25" t="s">
        <v>70</v>
      </c>
      <c r="D25" t="s">
        <v>104</v>
      </c>
      <c r="E25" t="s">
        <v>134</v>
      </c>
      <c r="F25">
        <v>4</v>
      </c>
    </row>
    <row r="26" spans="1:6" x14ac:dyDescent="0.2">
      <c r="A26" t="s">
        <v>13</v>
      </c>
      <c r="B26" t="s">
        <v>41</v>
      </c>
      <c r="C26" t="s">
        <v>73</v>
      </c>
      <c r="D26" t="s">
        <v>105</v>
      </c>
      <c r="E26" t="s">
        <v>133</v>
      </c>
      <c r="F26">
        <v>7</v>
      </c>
    </row>
    <row r="27" spans="1:6" x14ac:dyDescent="0.2">
      <c r="A27" t="s">
        <v>13</v>
      </c>
      <c r="B27" t="s">
        <v>42</v>
      </c>
      <c r="C27" t="s">
        <v>74</v>
      </c>
      <c r="D27" t="s">
        <v>106</v>
      </c>
      <c r="E27" t="s">
        <v>134</v>
      </c>
      <c r="F27">
        <v>4</v>
      </c>
    </row>
    <row r="28" spans="1:6" x14ac:dyDescent="0.2">
      <c r="A28" t="s">
        <v>13</v>
      </c>
      <c r="B28" t="s">
        <v>43</v>
      </c>
      <c r="C28" t="s">
        <v>75</v>
      </c>
      <c r="D28" t="s">
        <v>107</v>
      </c>
      <c r="E28" t="s">
        <v>134</v>
      </c>
      <c r="F28">
        <v>4</v>
      </c>
    </row>
    <row r="29" spans="1:6" x14ac:dyDescent="0.2">
      <c r="A29" t="s">
        <v>13</v>
      </c>
      <c r="B29" t="s">
        <v>44</v>
      </c>
      <c r="C29" t="s">
        <v>74</v>
      </c>
      <c r="D29" t="s">
        <v>108</v>
      </c>
      <c r="E29" t="s">
        <v>134</v>
      </c>
      <c r="F29">
        <v>4</v>
      </c>
    </row>
    <row r="30" spans="1:6" x14ac:dyDescent="0.2">
      <c r="A30" t="s">
        <v>14</v>
      </c>
      <c r="B30" t="s">
        <v>45</v>
      </c>
      <c r="C30" t="s">
        <v>76</v>
      </c>
      <c r="D30" t="s">
        <v>109</v>
      </c>
      <c r="E30" t="s">
        <v>133</v>
      </c>
      <c r="F30">
        <v>7</v>
      </c>
    </row>
    <row r="31" spans="1:6" x14ac:dyDescent="0.2">
      <c r="A31" t="s">
        <v>14</v>
      </c>
      <c r="B31" t="s">
        <v>46</v>
      </c>
      <c r="C31" t="s">
        <v>73</v>
      </c>
      <c r="D31" t="s">
        <v>110</v>
      </c>
      <c r="E31" t="s">
        <v>134</v>
      </c>
      <c r="F31">
        <v>4</v>
      </c>
    </row>
    <row r="32" spans="1:6" x14ac:dyDescent="0.2">
      <c r="A32" t="s">
        <v>14</v>
      </c>
      <c r="B32" t="s">
        <v>47</v>
      </c>
      <c r="C32" t="s">
        <v>76</v>
      </c>
      <c r="D32" t="s">
        <v>111</v>
      </c>
      <c r="E32" t="s">
        <v>134</v>
      </c>
      <c r="F32">
        <v>4</v>
      </c>
    </row>
    <row r="33" spans="1:6" x14ac:dyDescent="0.2">
      <c r="A33" t="s">
        <v>14</v>
      </c>
      <c r="B33" t="s">
        <v>48</v>
      </c>
      <c r="C33" t="s">
        <v>77</v>
      </c>
      <c r="D33" t="s">
        <v>112</v>
      </c>
      <c r="E33" t="s">
        <v>134</v>
      </c>
      <c r="F33">
        <v>4</v>
      </c>
    </row>
    <row r="34" spans="1:6" x14ac:dyDescent="0.2">
      <c r="A34" t="s">
        <v>14</v>
      </c>
      <c r="B34" t="s">
        <v>49</v>
      </c>
      <c r="C34" t="s">
        <v>73</v>
      </c>
      <c r="D34" t="s">
        <v>113</v>
      </c>
      <c r="E34" t="s">
        <v>134</v>
      </c>
      <c r="F34">
        <v>4</v>
      </c>
    </row>
    <row r="35" spans="1:6" x14ac:dyDescent="0.2">
      <c r="A35" t="s">
        <v>14</v>
      </c>
      <c r="B35" t="s">
        <v>50</v>
      </c>
      <c r="C35" t="s">
        <v>76</v>
      </c>
      <c r="D35" t="s">
        <v>114</v>
      </c>
      <c r="E35" t="s">
        <v>133</v>
      </c>
      <c r="F35">
        <v>7</v>
      </c>
    </row>
    <row r="36" spans="1:6" x14ac:dyDescent="0.2">
      <c r="A36" t="s">
        <v>14</v>
      </c>
      <c r="B36" t="s">
        <v>51</v>
      </c>
      <c r="C36" t="s">
        <v>74</v>
      </c>
      <c r="D36" t="s">
        <v>115</v>
      </c>
      <c r="E36" t="s">
        <v>134</v>
      </c>
      <c r="F36">
        <v>4</v>
      </c>
    </row>
    <row r="37" spans="1:6" x14ac:dyDescent="0.2">
      <c r="A37" t="s">
        <v>15</v>
      </c>
      <c r="B37" t="s">
        <v>52</v>
      </c>
      <c r="C37" t="s">
        <v>78</v>
      </c>
      <c r="D37" t="s">
        <v>116</v>
      </c>
      <c r="E37" t="s">
        <v>134</v>
      </c>
      <c r="F37">
        <v>4</v>
      </c>
    </row>
    <row r="38" spans="1:6" x14ac:dyDescent="0.2">
      <c r="A38" t="s">
        <v>15</v>
      </c>
      <c r="B38" t="s">
        <v>53</v>
      </c>
      <c r="C38" t="s">
        <v>79</v>
      </c>
      <c r="D38" t="s">
        <v>117</v>
      </c>
      <c r="E38" t="s">
        <v>133</v>
      </c>
      <c r="F38">
        <v>7</v>
      </c>
    </row>
    <row r="39" spans="1:6" x14ac:dyDescent="0.2">
      <c r="A39" t="s">
        <v>15</v>
      </c>
      <c r="B39" t="s">
        <v>54</v>
      </c>
      <c r="C39" t="s">
        <v>74</v>
      </c>
      <c r="D39" t="s">
        <v>118</v>
      </c>
      <c r="E39" t="s">
        <v>134</v>
      </c>
      <c r="F39">
        <v>4</v>
      </c>
    </row>
    <row r="40" spans="1:6" x14ac:dyDescent="0.2">
      <c r="A40" t="s">
        <v>15</v>
      </c>
      <c r="B40" t="s">
        <v>55</v>
      </c>
      <c r="C40" t="s">
        <v>73</v>
      </c>
      <c r="D40" t="s">
        <v>119</v>
      </c>
      <c r="E40" t="s">
        <v>134</v>
      </c>
      <c r="F40">
        <v>4</v>
      </c>
    </row>
    <row r="41" spans="1:6" x14ac:dyDescent="0.2">
      <c r="A41" t="s">
        <v>15</v>
      </c>
      <c r="B41" t="s">
        <v>56</v>
      </c>
      <c r="C41" t="s">
        <v>73</v>
      </c>
      <c r="D41" t="s">
        <v>120</v>
      </c>
      <c r="E41" t="s">
        <v>134</v>
      </c>
      <c r="F41">
        <v>4</v>
      </c>
    </row>
    <row r="42" spans="1:6" x14ac:dyDescent="0.2">
      <c r="A42" t="s">
        <v>15</v>
      </c>
      <c r="B42" t="s">
        <v>57</v>
      </c>
      <c r="C42" t="s">
        <v>73</v>
      </c>
      <c r="D42" t="s">
        <v>121</v>
      </c>
      <c r="E42" t="s">
        <v>134</v>
      </c>
      <c r="F42">
        <v>4</v>
      </c>
    </row>
    <row r="43" spans="1:6" x14ac:dyDescent="0.2">
      <c r="A43" t="s">
        <v>15</v>
      </c>
      <c r="B43" t="s">
        <v>58</v>
      </c>
      <c r="C43" t="s">
        <v>80</v>
      </c>
      <c r="D43" t="s">
        <v>122</v>
      </c>
      <c r="E43" t="s">
        <v>134</v>
      </c>
      <c r="F43">
        <v>4</v>
      </c>
    </row>
    <row r="44" spans="1:6" x14ac:dyDescent="0.2">
      <c r="A44" t="s">
        <v>15</v>
      </c>
      <c r="B44" t="s">
        <v>59</v>
      </c>
      <c r="C44" t="s">
        <v>74</v>
      </c>
      <c r="D44" t="s">
        <v>123</v>
      </c>
      <c r="E44" t="s">
        <v>133</v>
      </c>
      <c r="F44">
        <v>7</v>
      </c>
    </row>
    <row r="45" spans="1:6" x14ac:dyDescent="0.2">
      <c r="A45" t="s">
        <v>15</v>
      </c>
      <c r="B45" t="s">
        <v>60</v>
      </c>
      <c r="C45" t="s">
        <v>73</v>
      </c>
      <c r="D45" t="s">
        <v>124</v>
      </c>
      <c r="E45" t="s">
        <v>134</v>
      </c>
      <c r="F45">
        <v>4</v>
      </c>
    </row>
    <row r="46" spans="1:6" x14ac:dyDescent="0.2">
      <c r="A46" t="s">
        <v>15</v>
      </c>
      <c r="B46" t="s">
        <v>61</v>
      </c>
      <c r="C46" t="s">
        <v>73</v>
      </c>
      <c r="D46" t="s">
        <v>125</v>
      </c>
      <c r="E46" t="s">
        <v>134</v>
      </c>
      <c r="F46">
        <v>4</v>
      </c>
    </row>
    <row r="47" spans="1:6" x14ac:dyDescent="0.2">
      <c r="A47" t="s">
        <v>16</v>
      </c>
      <c r="B47" t="s">
        <v>62</v>
      </c>
      <c r="C47" t="s">
        <v>74</v>
      </c>
      <c r="D47" t="s">
        <v>126</v>
      </c>
      <c r="E47" t="s">
        <v>135</v>
      </c>
      <c r="F47">
        <v>2</v>
      </c>
    </row>
    <row r="48" spans="1:6" x14ac:dyDescent="0.2">
      <c r="A48" t="s">
        <v>16</v>
      </c>
      <c r="B48" t="s">
        <v>63</v>
      </c>
      <c r="C48" t="s">
        <v>75</v>
      </c>
      <c r="D48" t="s">
        <v>127</v>
      </c>
      <c r="E48" t="s">
        <v>134</v>
      </c>
      <c r="F48">
        <v>4</v>
      </c>
    </row>
    <row r="49" spans="1:6" x14ac:dyDescent="0.2">
      <c r="A49" t="s">
        <v>16</v>
      </c>
      <c r="B49" t="s">
        <v>50</v>
      </c>
      <c r="C49" t="s">
        <v>74</v>
      </c>
      <c r="D49" t="s">
        <v>128</v>
      </c>
      <c r="E49" t="s">
        <v>134</v>
      </c>
      <c r="F49">
        <v>4</v>
      </c>
    </row>
    <row r="50" spans="1:6" x14ac:dyDescent="0.2">
      <c r="A50" t="s">
        <v>16</v>
      </c>
      <c r="B50" t="s">
        <v>64</v>
      </c>
      <c r="C50" t="s">
        <v>74</v>
      </c>
      <c r="D50" t="s">
        <v>129</v>
      </c>
      <c r="E50" t="s">
        <v>134</v>
      </c>
      <c r="F50">
        <v>4</v>
      </c>
    </row>
    <row r="51" spans="1:6" x14ac:dyDescent="0.2">
      <c r="A51" t="s">
        <v>16</v>
      </c>
      <c r="B51" t="s">
        <v>65</v>
      </c>
      <c r="C51" t="s">
        <v>73</v>
      </c>
      <c r="D51" t="s">
        <v>130</v>
      </c>
      <c r="E51" t="s">
        <v>134</v>
      </c>
      <c r="F51">
        <v>4</v>
      </c>
    </row>
    <row r="52" spans="1:6" x14ac:dyDescent="0.2">
      <c r="A52" t="s">
        <v>16</v>
      </c>
      <c r="B52" t="s">
        <v>66</v>
      </c>
      <c r="C52" t="s">
        <v>75</v>
      </c>
      <c r="D52" t="s">
        <v>131</v>
      </c>
      <c r="E52" t="s">
        <v>134</v>
      </c>
      <c r="F52">
        <v>4</v>
      </c>
    </row>
    <row r="53" spans="1:6" x14ac:dyDescent="0.2">
      <c r="A53" t="s">
        <v>16</v>
      </c>
      <c r="B53" t="s">
        <v>67</v>
      </c>
      <c r="C53" t="s">
        <v>80</v>
      </c>
      <c r="D53" t="s">
        <v>132</v>
      </c>
      <c r="E53" t="s">
        <v>134</v>
      </c>
      <c r="F53">
        <v>4</v>
      </c>
    </row>
    <row r="54" spans="1:6" x14ac:dyDescent="0.2">
      <c r="F54">
        <f>B60</f>
        <v>259</v>
      </c>
    </row>
    <row r="60" spans="1:6" x14ac:dyDescent="0.2">
      <c r="A60" t="s">
        <v>138</v>
      </c>
      <c r="B60" s="2">
        <f>SUM(F2:F53)</f>
        <v>259</v>
      </c>
    </row>
    <row r="61" spans="1:6" x14ac:dyDescent="0.2">
      <c r="A61" t="s">
        <v>139</v>
      </c>
      <c r="B61">
        <v>250</v>
      </c>
    </row>
    <row r="62" spans="1:6" x14ac:dyDescent="0.2">
      <c r="A62" t="s">
        <v>141</v>
      </c>
      <c r="B62">
        <f>B60*B61</f>
        <v>64750</v>
      </c>
    </row>
    <row r="63" spans="1:6" x14ac:dyDescent="0.2">
      <c r="A63" t="s">
        <v>140</v>
      </c>
      <c r="B63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D40" sqref="D40"/>
    </sheetView>
  </sheetViews>
  <sheetFormatPr baseColWidth="10" defaultColWidth="8.83203125" defaultRowHeight="15" x14ac:dyDescent="0.2"/>
  <cols>
    <col min="1" max="1" width="34" customWidth="1"/>
  </cols>
  <sheetData>
    <row r="1" spans="1:2" x14ac:dyDescent="0.2">
      <c r="A1" s="1" t="s">
        <v>0</v>
      </c>
      <c r="B1" s="1" t="s">
        <v>136</v>
      </c>
    </row>
    <row r="2" spans="1:2" x14ac:dyDescent="0.2">
      <c r="A2" t="s">
        <v>15</v>
      </c>
      <c r="B2">
        <v>46</v>
      </c>
    </row>
    <row r="3" spans="1:2" x14ac:dyDescent="0.2">
      <c r="A3" t="s">
        <v>12</v>
      </c>
      <c r="B3">
        <v>45</v>
      </c>
    </row>
    <row r="4" spans="1:2" x14ac:dyDescent="0.2">
      <c r="A4" t="s">
        <v>14</v>
      </c>
      <c r="B4">
        <v>34</v>
      </c>
    </row>
    <row r="5" spans="1:2" x14ac:dyDescent="0.2">
      <c r="A5" t="s">
        <v>16</v>
      </c>
      <c r="B5">
        <v>26</v>
      </c>
    </row>
    <row r="6" spans="1:2" x14ac:dyDescent="0.2">
      <c r="A6" t="s">
        <v>13</v>
      </c>
      <c r="B6">
        <v>23</v>
      </c>
    </row>
    <row r="7" spans="1:2" x14ac:dyDescent="0.2">
      <c r="A7" t="s">
        <v>6</v>
      </c>
      <c r="B7">
        <v>21</v>
      </c>
    </row>
    <row r="8" spans="1:2" x14ac:dyDescent="0.2">
      <c r="A8" t="s">
        <v>7</v>
      </c>
      <c r="B8">
        <v>18</v>
      </c>
    </row>
    <row r="9" spans="1:2" x14ac:dyDescent="0.2">
      <c r="A9" t="s">
        <v>11</v>
      </c>
      <c r="B9">
        <v>18</v>
      </c>
    </row>
    <row r="10" spans="1:2" x14ac:dyDescent="0.2">
      <c r="A10" t="s">
        <v>9</v>
      </c>
      <c r="B10">
        <v>14</v>
      </c>
    </row>
    <row r="11" spans="1:2" x14ac:dyDescent="0.2">
      <c r="A11" t="s">
        <v>8</v>
      </c>
      <c r="B11">
        <v>8</v>
      </c>
    </row>
    <row r="12" spans="1:2" x14ac:dyDescent="0.2">
      <c r="A12" t="s">
        <v>10</v>
      </c>
      <c r="B12">
        <v>6</v>
      </c>
    </row>
    <row r="13" spans="1:2" x14ac:dyDescent="0.2">
      <c r="A13" t="s">
        <v>137</v>
      </c>
      <c r="B13">
        <v>259</v>
      </c>
    </row>
    <row r="14" spans="1:2" x14ac:dyDescent="0.2">
      <c r="A14" t="s">
        <v>139</v>
      </c>
      <c r="B14">
        <v>250</v>
      </c>
    </row>
    <row r="15" spans="1:2" x14ac:dyDescent="0.2">
      <c r="A15" t="s">
        <v>141</v>
      </c>
      <c r="B15">
        <f>B13*B14</f>
        <v>64750</v>
      </c>
    </row>
    <row r="16" spans="1:2" x14ac:dyDescent="0.2">
      <c r="A16" t="s">
        <v>142</v>
      </c>
      <c r="B1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Tech_Backlog_MS</vt:lpstr>
      <vt:lpstr>Component_Summary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Baccar, Omar</cp:lastModifiedBy>
  <dcterms:created xsi:type="dcterms:W3CDTF">2025-12-05T15:34:30Z</dcterms:created>
  <dcterms:modified xsi:type="dcterms:W3CDTF">2025-12-15T10:54:23Z</dcterms:modified>
</cp:coreProperties>
</file>